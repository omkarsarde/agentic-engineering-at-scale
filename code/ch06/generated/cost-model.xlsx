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4e41da037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7a183ea0a94c84"/>
    <x:sheet xmlns:r="http://schemas.openxmlformats.org/officeDocument/2006/relationships" name="Assumptions" sheetId="2" r:id="Re02cd5cfab3b4952"/>
    <x:sheet xmlns:r="http://schemas.openxmlformats.org/officeDocument/2006/relationships" name="Model" sheetId="3" r:id="Rdd8b4d408c334fbc"/>
    <x:sheet xmlns:r="http://schemas.openxmlformats.org/officeDocument/2006/relationships" name="Sensitivity" sheetId="4" r:id="Rac295cd616574f18"/>
    <x:sheet xmlns:r="http://schemas.openxmlformats.org/officeDocument/2006/relationships" name="Checks" sheetId="5" r:id="R66a5c1fab6214f13"/>
    <x:sheet xmlns:r="http://schemas.openxmlformats.org/officeDocument/2006/relationships" name="Sources" sheetId="6" r:id="R576a15f59dc4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0%"/>
    <x:numFmt numFmtId="202" formatCode="$#,##0.00"/>
    <x:numFmt numFmtId="203" formatCode="0"/>
    <x:numFmt numFmtId="204" formatCode="0.00E+00"/>
    <x:numFmt numFmtId="205" formatCode="#,##0.00"/>
    <x:numFmt numFmtId="206" formatCode="$#,##0"/>
    <x:numFmt numFmtId="207" formatCode="$0.000"/>
    <x:numFmt numFmtId="208" formatCode="$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6579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  <x:xf numFmtId="202" fontId="4" fillId="4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  <x:xf numFmtId="202" fontId="4" fillId="4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/>
    </x:xf>
    <x:xf numFmtId="204" fontId="4" fillId="5" borderId="1" xfId="0" applyNumberFormat="1" applyFont="1" applyFill="1" applyBorder="1" applyAlignment="1">
      <x:alignment vertical="center"/>
    </x:xf>
    <x:xf numFmtId="205" fontId="4" fillId="5" borderId="1" xfId="0" applyNumberFormat="1" applyFont="1" applyFill="1" applyBorder="1" applyAlignment="1">
      <x:alignment vertical="center"/>
    </x:xf>
    <x:xf numFmtId="206" fontId="4" fillId="5" borderId="1" xfId="0" applyNumberFormat="1" applyFont="1" applyFill="1" applyBorder="1" applyAlignment="1">
      <x:alignment vertical="center"/>
    </x:xf>
    <x:xf numFmtId="207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206" fontId="4" fillId="0" borderId="1" xfId="0" applyNumberFormat="1" applyFont="1" applyFill="1" applyBorder="1" applyAlignment="1">
      <x:alignment vertical="center"/>
    </x:xf>
    <x:xf numFmtId="208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ca0deb4a64206" /><Relationship Type="http://schemas.openxmlformats.org/officeDocument/2006/relationships/theme" Target="/xl/theme/theme1.xml" Id="Rd004882bd00944f1" /><Relationship Type="http://schemas.openxmlformats.org/officeDocument/2006/relationships/sharedStrings" Target="/xl/sharedStrings.xml" Id="R99acc4d7c98f4edc" /><Relationship Type="http://schemas.openxmlformats.org/officeDocument/2006/relationships/worksheet" Target="/xl/worksheets/sheet1.xml" Id="R6f7a183ea0a94c84" /><Relationship Type="http://schemas.openxmlformats.org/officeDocument/2006/relationships/worksheet" Target="/xl/worksheets/sheet2.xml" Id="Re02cd5cfab3b4952" /><Relationship Type="http://schemas.openxmlformats.org/officeDocument/2006/relationships/worksheet" Target="/xl/worksheets/sheet3.xml" Id="Rdd8b4d408c334fbc" /><Relationship Type="http://schemas.openxmlformats.org/officeDocument/2006/relationships/worksheet" Target="/xl/worksheets/sheet4.xml" Id="Rac295cd616574f18" /><Relationship Type="http://schemas.openxmlformats.org/officeDocument/2006/relationships/worksheet" Target="/xl/worksheets/sheet5.xml" Id="R66a5c1fab6214f13" /><Relationship Type="http://schemas.openxmlformats.org/officeDocument/2006/relationships/worksheet" Target="/xl/worksheets/sheet6.xml" Id="R576a15f59dc446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9de1956f254f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Higher MFU lowers cost for fixed compute</a:t>
            </a:r>
          </a:p>
        </c:rich>
      </c:tx>
    </c:title>
    <c:plotArea>
      <c:lineChart>
        <c:grouping val="standard"/>
        <c:ser>
          <c:idx val="0"/>
          <c:order val="0"/>
          <c:tx>
            <c:v>Training cost</c:v>
          </c:tx>
          <c:marker>
            <c:symbol val="none"/>
          </c:marker>
          <c:cat>
            <c:strRef>
              <c:f>'Summary'!$A$15:$A$22</c:f>
              <c:strCache>
                <c:ptCount val="0"/>
              </c:strCache>
            </c:strRef>
          </c:cat>
          <c:val>
            <c:numRef>
              <c:f>'Summary'!$B$15:$B$22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9de1956f254f6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63dee9534a45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7" hidden="0" customWidth="1"/>
    <x:col min="4" max="4" width="3" hidden="0" customWidth="1"/>
    <x:col min="5" max="5" width="29" hidden="0" customWidth="1"/>
    <x:col min="6" max="6" width="17" hidden="0" customWidth="1"/>
    <x:col min="7" max="7" width="38" hidden="0" customWidth="1"/>
  </x:cols>
  <x:sheetData>
    <x:row r="1" ht="21.600000381469727" hidden="0" customHeight="1">
      <x:c r="A1" s="3" t="str">
        <x:v>Frontier Training Economics — Decision Summary</x:v>
      </x:c>
      <x:c r="B1" s="3" t="str">
        <x:v>Frontier Training Economics — Decision Summary</x:v>
      </x:c>
      <x:c r="C1" s="3" t="str">
        <x:v>Frontier Training Economics — Decision Summary</x:v>
      </x:c>
      <x:c r="D1" s="3" t="str">
        <x:v>Frontier Training Economics — Decision Summary</x:v>
      </x:c>
      <x:c r="E1" s="3" t="str">
        <x:v>Frontier Training Economics — Decision Summary</x:v>
      </x:c>
      <x:c r="F1" s="3" t="str">
        <x:v>Frontier Training Economics — Decision Summary</x:v>
      </x:c>
      <x:c r="G1" s="3" t="str">
        <x:v>Frontier Training Economics — Decision Summary</x:v>
      </x:c>
      <x:c r="H1" s="3" t="str">
        <x:v>Frontier Training Economics — Decision Summary</x:v>
      </x:c>
      <x:c r="I1" s="3" t="str">
        <x:v>Frontier Training Economics — Decision Summary</x:v>
      </x:c>
      <x:c r="J1" s="3" t="str">
        <x:v>Frontier Training Economics — Decision Summary</x:v>
      </x:c>
      <x:c r="K1" s="3" t="str">
        <x:v>Frontier Training Economics — Decision Summary</x:v>
      </x:c>
    </x:row>
    <x:row r="2" ht="15" hidden="0" customHeight="1">
      <x:c r="A2" s="5" t="str">
        <x:v>Illustrative 30B-parameter / 600B-token dense run. Change yellow inputs on Assumptions; formulas and chart update automatically.</x:v>
      </x:c>
      <x:c r="B2" s="5" t="str">
        <x:v>Illustrative 30B-parameter / 600B-token dense run. Change yellow inputs on Assumptions; formulas and chart update automatically.</x:v>
      </x:c>
      <x:c r="C2" s="5" t="str">
        <x:v>Illustrative 30B-parameter / 600B-token dense run. Change yellow inputs on Assumptions; formulas and chart update automatically.</x:v>
      </x:c>
      <x:c r="D2" s="5" t="str">
        <x:v>Illustrative 30B-parameter / 600B-token dense run. Change yellow inputs on Assumptions; formulas and chart update automatically.</x:v>
      </x:c>
      <x:c r="E2" s="5" t="str">
        <x:v>Illustrative 30B-parameter / 600B-token dense run. Change yellow inputs on Assumptions; formulas and chart update automatically.</x:v>
      </x:c>
      <x:c r="F2" s="5" t="str">
        <x:v>Illustrative 30B-parameter / 600B-token dense run. Change yellow inputs on Assumptions; formulas and chart update automatically.</x:v>
      </x:c>
      <x:c r="G2" s="5" t="str">
        <x:v>Illustrative 30B-parameter / 600B-token dense run. Change yellow inputs on Assumptions; formulas and chart update automatically.</x:v>
      </x:c>
      <x:c r="H2" s="5" t="str">
        <x:v>Illustrative 30B-parameter / 600B-token dense run. Change yellow inputs on Assumptions; formulas and chart update automatically.</x:v>
      </x:c>
      <x:c r="I2" s="5" t="str">
        <x:v>Illustrative 30B-parameter / 600B-token dense run. Change yellow inputs on Assumptions; formulas and chart update automatically.</x:v>
      </x:c>
      <x:c r="J2" s="5" t="str">
        <x:v>Illustrative 30B-parameter / 600B-token dense run. Change yellow inputs on Assumptions; formulas and chart update automatically.</x:v>
      </x:c>
      <x:c r="K2" s="5" t="str">
        <x:v>Illustrative 30B-parameter / 600B-token dense run. Change yellow inputs on Assumptions; formulas and chart update automatically.</x:v>
      </x:c>
    </x:row>
    <x:row r="3"/>
    <x:row r="4" ht="15" hidden="0" customHeight="1">
      <x:c r="A4" s="10" t="str">
        <x:v>Decision KPI</x:v>
      </x:c>
      <x:c r="B4" s="10" t="str">
        <x:v>Value</x:v>
      </x:c>
      <x:c r="C4" s="10" t="str">
        <x:v>Unit</x:v>
      </x:c>
      <x:c r="E4" s="10" t="str">
        <x:v>Control</x:v>
      </x:c>
      <x:c r="F4" s="10" t="str">
        <x:v>Value</x:v>
      </x:c>
      <x:c r="G4" s="10" t="str">
        <x:v>Interpretation</x:v>
      </x:c>
    </x:row>
    <x:row r="5" ht="15" hidden="0" customHeight="1">
      <x:c r="A5" s="13" t="str">
        <x:v>Training compute</x:v>
      </x:c>
      <x:c r="B5" s="27" t="n">
        <x:f>'Model'!B5</x:f>
        <x:v>1.08e+23</x:v>
      </x:c>
      <x:c r="C5" s="13" t="str">
        <x:v>FLOPs</x:v>
      </x:c>
      <x:c r="E5" s="13" t="str">
        <x:v>Model FLOPs utilization</x:v>
      </x:c>
      <x:c r="F5" s="31" t="n">
        <x:f>'Assumptions'!B9</x:f>
        <x:v>0.4</x:v>
      </x:c>
      <x:c r="G5" s="13" t="str">
        <x:v>Useful model FLOPs / peak FLOPs</x:v>
      </x:c>
    </x:row>
    <x:row r="6" ht="15" hidden="0" customHeight="1">
      <x:c r="A6" s="13" t="str">
        <x:v>Accelerator-hours</x:v>
      </x:c>
      <x:c r="B6" s="28" t="n">
        <x:f>'Model'!B6</x:f>
        <x:v>75000</x:v>
      </x:c>
      <x:c r="C6" s="13" t="str">
        <x:v>device-hours</x:v>
      </x:c>
      <x:c r="E6" s="13" t="str">
        <x:v>Price</x:v>
      </x:c>
      <x:c r="F6" s="34" t="n">
        <x:f>'Assumptions'!B10</x:f>
        <x:v>4</x:v>
      </x:c>
      <x:c r="G6" s="13" t="str">
        <x:v>Illustrative $/device-hour</x:v>
      </x:c>
    </x:row>
    <x:row r="7" ht="15" hidden="0" customHeight="1">
      <x:c r="A7" s="13" t="str">
        <x:v>Wall time</x:v>
      </x:c>
      <x:c r="B7" s="28" t="n">
        <x:f>'Model'!B7</x:f>
        <x:v>0.3814697265625</x:v>
      </x:c>
      <x:c r="C7" s="13" t="str">
        <x:v>days</x:v>
      </x:c>
      <x:c r="E7" s="13" t="str">
        <x:v>Accelerators</x:v>
      </x:c>
      <x:c r="F7" s="35" t="n">
        <x:f>'Assumptions'!B7</x:f>
        <x:v>8192</x:v>
      </x:c>
      <x:c r="G7" s="13" t="str">
        <x:v>Devices in the homogeneous fleet</x:v>
      </x:c>
    </x:row>
    <x:row r="8" ht="15" hidden="0" customHeight="1">
      <x:c r="A8" s="13" t="str">
        <x:v>Training cost</x:v>
      </x:c>
      <x:c r="B8" s="29" t="n">
        <x:f>'Model'!B8</x:f>
        <x:v>300000</x:v>
      </x:c>
      <x:c r="C8" s="13" t="str">
        <x:v>USD</x:v>
      </x:c>
    </x:row>
    <x:row r="9" ht="15" hidden="0" customHeight="1">
      <x:c r="A9" s="13" t="str">
        <x:v>Facility power</x:v>
      </x:c>
      <x:c r="B9" s="28" t="n">
        <x:f>'Model'!B9</x:f>
        <x:v>9.8304</x:v>
      </x:c>
      <x:c r="C9" s="13" t="str">
        <x:v>MW</x:v>
      </x:c>
    </x:row>
    <x:row r="10" ht="15" hidden="0" customHeight="1">
      <x:c r="A10" s="13" t="str">
        <x:v>Facility energy</x:v>
      </x:c>
      <x:c r="B10" s="28" t="n">
        <x:f>'Model'!B10</x:f>
        <x:v>90</x:v>
      </x:c>
      <x:c r="C10" s="13" t="str">
        <x:v>MWh</x:v>
      </x:c>
    </x:row>
    <x:row r="11"/>
    <x:row r="12"/>
    <x:row r="13"/>
    <x:row r="14" ht="15" hidden="0" customHeight="1">
      <x:c r="A14" s="10" t="str">
        <x:v>MFU</x:v>
      </x:c>
      <x:c r="B14" s="10" t="str">
        <x:v>Training cost</x:v>
      </x:c>
    </x:row>
    <x:row r="15" ht="15" hidden="0" customHeight="1">
      <x:c r="A15" s="31" t="str">
        <x:f>TEXT('Sensitivity'!A5,"0%")</x:f>
        <x:v>25%</x:v>
      </x:c>
      <x:c r="B15" s="33" t="n">
        <x:f>'Sensitivity'!D5</x:f>
        <x:v>480000.00000000006</x:v>
      </x:c>
    </x:row>
    <x:row r="16" ht="15" hidden="0" customHeight="1">
      <x:c r="A16" s="31" t="str">
        <x:f>TEXT('Sensitivity'!A6,"0%")</x:f>
        <x:v>30%</x:v>
      </x:c>
      <x:c r="B16" s="33" t="n">
        <x:f>'Sensitivity'!D6</x:f>
        <x:v>400000</x:v>
      </x:c>
    </x:row>
    <x:row r="17" ht="15" hidden="0" customHeight="1">
      <x:c r="A17" s="31" t="str">
        <x:f>TEXT('Sensitivity'!A7,"0%")</x:f>
        <x:v>35%</x:v>
      </x:c>
      <x:c r="B17" s="33" t="n">
        <x:f>'Sensitivity'!D7</x:f>
        <x:v>342857.1428571429</x:v>
      </x:c>
    </x:row>
    <x:row r="18" ht="15" hidden="0" customHeight="1">
      <x:c r="A18" s="31" t="str">
        <x:f>TEXT('Sensitivity'!A8,"0%")</x:f>
        <x:v>40%</x:v>
      </x:c>
      <x:c r="B18" s="33" t="n">
        <x:f>'Sensitivity'!D8</x:f>
        <x:v>300000</x:v>
      </x:c>
    </x:row>
    <x:row r="19" ht="15" hidden="0" customHeight="1">
      <x:c r="A19" s="31" t="str">
        <x:f>TEXT('Sensitivity'!A9,"0%")</x:f>
        <x:v>45%</x:v>
      </x:c>
      <x:c r="B19" s="33" t="n">
        <x:f>'Sensitivity'!D9</x:f>
        <x:v>266666.6666666667</x:v>
      </x:c>
    </x:row>
    <x:row r="20" ht="15" hidden="0" customHeight="1">
      <x:c r="A20" s="31" t="str">
        <x:f>TEXT('Sensitivity'!A10,"0%")</x:f>
        <x:v>50%</x:v>
      </x:c>
      <x:c r="B20" s="33" t="n">
        <x:f>'Sensitivity'!D10</x:f>
        <x:v>240000.00000000003</x:v>
      </x:c>
    </x:row>
    <x:row r="21" ht="15" hidden="0" customHeight="1">
      <x:c r="A21" s="31" t="str">
        <x:f>TEXT('Sensitivity'!A11,"0%")</x:f>
        <x:v>55%</x:v>
      </x:c>
      <x:c r="B21" s="33" t="n">
        <x:f>'Sensitivity'!D11</x:f>
        <x:v>218181.81818181815</x:v>
      </x:c>
    </x:row>
    <x:row r="22" ht="15" hidden="0" customHeight="1">
      <x:c r="A22" s="31" t="str">
        <x:f>TEXT('Sensitivity'!A12,"0%")</x:f>
        <x:v>60%</x:v>
      </x:c>
      <x:c r="B22" s="33" t="n">
        <x:f>'Sensitivity'!D12</x:f>
        <x:v>200000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2463dee9534a458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20" hidden="0" customWidth="1"/>
    <x:col min="4" max="4" width="18" hidden="0" customWidth="1"/>
    <x:col min="5" max="5" width="48" hidden="0" customWidth="1"/>
    <x:col min="6" max="6" width="14" hidden="0" customWidth="1"/>
  </x:cols>
  <x:sheetData>
    <x:row r="1" ht="21.600000381469727" hidden="0" customHeight="1">
      <x:c r="A1" s="3" t="str">
        <x:v>Training Cost Model — Assumptions</x:v>
      </x:c>
      <x:c r="B1" s="3" t="str">
        <x:v>Training Cost Model — Assumptions</x:v>
      </x:c>
      <x:c r="C1" s="3" t="str">
        <x:v>Training Cost Model — Assumptions</x:v>
      </x:c>
      <x:c r="D1" s="3" t="str">
        <x:v>Training Cost Model — Assumptions</x:v>
      </x:c>
      <x:c r="E1" s="3" t="str">
        <x:v>Training Cost Model — Assumptions</x:v>
      </x:c>
      <x:c r="F1" s="3" t="str">
        <x:v>Training Cost Model — Assumptions</x:v>
      </x:c>
    </x:row>
    <x:row r="2" ht="15" hidden="0" customHeight="1">
      <x:c r="A2" s="5" t="str">
        <x:v>Yellow cells are scenario inputs. The base price is illustrative; the dated cloud row is a reference, not a default.</x:v>
      </x:c>
      <x:c r="B2" s="5" t="str">
        <x:v>Yellow cells are scenario inputs. The base price is illustrative; the dated cloud row is a reference, not a default.</x:v>
      </x:c>
      <x:c r="C2" s="5" t="str">
        <x:v>Yellow cells are scenario inputs. The base price is illustrative; the dated cloud row is a reference, not a default.</x:v>
      </x:c>
      <x:c r="D2" s="5" t="str">
        <x:v>Yellow cells are scenario inputs. The base price is illustrative; the dated cloud row is a reference, not a default.</x:v>
      </x:c>
      <x:c r="E2" s="5" t="str">
        <x:v>Yellow cells are scenario inputs. The base price is illustrative; the dated cloud row is a reference, not a default.</x:v>
      </x:c>
      <x:c r="F2" s="5" t="str">
        <x:v>Yellow cells are scenario inputs. The base price is illustrative; the dated cloud row is a reference, not a default.</x:v>
      </x:c>
      <x:c r="G2" s="5" t="str">
        <x:v>Yellow cells are scenario inputs. The base price is illustrative; the dated cloud row is a reference, not a default.</x:v>
      </x:c>
      <x:c r="H2" s="5" t="str">
        <x:v>Yellow cells are scenario inputs. The base price is illustrative; the dated cloud row is a reference, not a default.</x:v>
      </x:c>
      <x:c r="I2" s="5" t="str">
        <x:v>Yellow cells are scenario inputs. The base price is illustrative; the dated cloud row is a reference, not a default.</x:v>
      </x:c>
      <x:c r="J2" s="5" t="str">
        <x:v>Yellow cells are scenario inputs. The base price is illustrative; the dated cloud row is a reference, not a default.</x:v>
      </x:c>
      <x:c r="K2" s="5" t="str">
        <x:v>Yellow cells are scenario inputs. The base price is illustrative; the dated cloud row is a reference, not a default.</x:v>
      </x:c>
    </x:row>
    <x:row r="3"/>
    <x:row r="4" ht="15" hidden="0" customHeight="1">
      <x:c r="A4" s="10" t="str">
        <x:v>Input</x:v>
      </x:c>
      <x:c r="B4" s="10" t="str">
        <x:v>Value</x:v>
      </x:c>
      <x:c r="C4" s="10" t="str">
        <x:v>Unit</x:v>
      </x:c>
      <x:c r="D4" s="10" t="str">
        <x:v>Treatment</x:v>
      </x:c>
      <x:c r="E4" s="10" t="str">
        <x:v>Evidence / note</x:v>
      </x:c>
      <x:c r="F4" s="10" t="str">
        <x:v>Checked</x:v>
      </x:c>
    </x:row>
    <x:row r="5" ht="15" hidden="0" customHeight="1">
      <x:c r="A5" s="20" t="str">
        <x:v>Parameters (N)</x:v>
      </x:c>
      <x:c r="B5" s="21" t="n">
        <x:v>30000000000</x:v>
      </x:c>
      <x:c r="C5" s="20" t="str">
        <x:v>parameters</x:v>
      </x:c>
      <x:c r="D5" s="20" t="str">
        <x:v>Editable</x:v>
      </x:c>
      <x:c r="E5" s="20" t="str">
        <x:v>Dense model parameter count</x:v>
      </x:c>
      <x:c r="F5" s="20" t="str"/>
    </x:row>
    <x:row r="6" ht="15" hidden="0" customHeight="1">
      <x:c r="A6" s="20" t="str">
        <x:v>Training tokens (D)</x:v>
      </x:c>
      <x:c r="B6" s="21" t="n">
        <x:v>600000000000</x:v>
      </x:c>
      <x:c r="C6" s="20" t="str">
        <x:v>tokens</x:v>
      </x:c>
      <x:c r="D6" s="20" t="str">
        <x:v>Editable</x:v>
      </x:c>
      <x:c r="E6" s="20" t="str">
        <x:v>Tokens presented to the optimizer</x:v>
      </x:c>
      <x:c r="F6" s="20" t="str"/>
    </x:row>
    <x:row r="7" ht="15" hidden="0" customHeight="1">
      <x:c r="A7" s="20" t="str">
        <x:v>Accelerators</x:v>
      </x:c>
      <x:c r="B7" s="21" t="n">
        <x:v>8192</x:v>
      </x:c>
      <x:c r="C7" s="20" t="str">
        <x:v>devices</x:v>
      </x:c>
      <x:c r="D7" s="20" t="str">
        <x:v>Editable</x:v>
      </x:c>
      <x:c r="E7" s="20" t="str">
        <x:v>Homogeneous training fleet</x:v>
      </x:c>
      <x:c r="F7" s="20" t="str"/>
    </x:row>
    <x:row r="8" ht="15" hidden="0" customHeight="1">
      <x:c r="A8" s="20" t="str">
        <x:v>Peak throughput</x:v>
      </x:c>
      <x:c r="B8" s="21" t="n">
        <x:v>1000</x:v>
      </x:c>
      <x:c r="C8" s="20" t="str">
        <x:v>TFLOP/s/device</x:v>
      </x:c>
      <x:c r="D8" s="20" t="str">
        <x:v>Editable</x:v>
      </x:c>
      <x:c r="E8" s="20" t="str">
        <x:v>Dense-equivalent peak used for the planning denominator</x:v>
      </x:c>
      <x:c r="F8" s="20" t="str"/>
    </x:row>
    <x:row r="9" ht="15" hidden="0" customHeight="1">
      <x:c r="A9" s="20" t="str">
        <x:v>Model FLOPs utilization</x:v>
      </x:c>
      <x:c r="B9" s="22" t="n">
        <x:v>0.4</x:v>
      </x:c>
      <x:c r="C9" s="20" t="str">
        <x:v>%</x:v>
      </x:c>
      <x:c r="D9" s="20" t="str">
        <x:v>Editable</x:v>
      </x:c>
      <x:c r="E9" s="20" t="str">
        <x:v>Measured/modelled model FLOPs divided by peak capacity</x:v>
      </x:c>
      <x:c r="F9" s="20" t="str"/>
    </x:row>
    <x:row r="10" ht="15" hidden="0" customHeight="1">
      <x:c r="A10" s="20" t="str">
        <x:v>Price</x:v>
      </x:c>
      <x:c r="B10" s="23" t="n">
        <x:v>4</x:v>
      </x:c>
      <x:c r="C10" s="20" t="str">
        <x:v>$/device-hour</x:v>
      </x:c>
      <x:c r="D10" s="20" t="str">
        <x:v>Illustrative</x:v>
      </x:c>
      <x:c r="E10" s="20" t="str">
        <x:v>Replace with an approved quote or internal transfer price</x:v>
      </x:c>
      <x:c r="F10" s="20" t="str"/>
    </x:row>
    <x:row r="11" ht="15" hidden="0" customHeight="1">
      <x:c r="A11" s="20" t="str">
        <x:v>Facility power</x:v>
      </x:c>
      <x:c r="B11" s="23" t="n">
        <x:v>1.2</x:v>
      </x:c>
      <x:c r="C11" s="20" t="str">
        <x:v>kW/device</x:v>
      </x:c>
      <x:c r="D11" s="20" t="str">
        <x:v>Editable</x:v>
      </x:c>
      <x:c r="E11" s="20" t="str">
        <x:v>Includes accelerator host and facility overhead</x:v>
      </x:c>
      <x:c r="F11" s="20" t="str"/>
    </x:row>
    <x:row r="12" ht="15" hidden="0" customHeight="1">
      <x:c r="A12" s="20" t="str">
        <x:v>GCP a3-highgpu-8g H100</x:v>
      </x:c>
      <x:c r="B12" s="24" t="n">
        <x:v>11.061250014875</x:v>
      </x:c>
      <x:c r="C12" s="20" t="str">
        <x:v>$/GPU-hour</x:v>
      </x:c>
      <x:c r="D12" s="20" t="str">
        <x:v>Dated reference</x:v>
      </x:c>
      <x:c r="E12" s="20" t="str">
        <x:v>$88.490000119 per 8-GPU VM; not used by the base case</x:v>
      </x:c>
      <x:c r="F12" s="20" t="str">
        <x:v>2026-07-19</x:v>
      </x:c>
    </x:row>
    <x:row r="13" ht="15" hidden="0" customHeight="1">
      <x:c r="A13" s="20" t="str">
        <x:v>Compute estimate</x:v>
      </x:c>
      <x:c r="B13" s="25" t="n">
        <x:v>6</x:v>
      </x:c>
      <x:c r="C13" s="20" t="str">
        <x:v>FLOPs/(parameter·token)</x:v>
      </x:c>
      <x:c r="D13" s="20" t="str">
        <x:v>Mechanism</x:v>
      </x:c>
      <x:c r="E13" s="20" t="str">
        <x:v>Dense decoder-only training approximation C ≈ 6ND</x:v>
      </x:c>
      <x:c r="F13" s="20" t="str">
        <x:v>2026-07-19</x:v>
      </x:c>
    </x:row>
  </x:sheetData>
  <x:mergeCells>
    <x:mergeCell ref="A1:F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52" hidden="0" customWidth="1"/>
  </x:cols>
  <x:sheetData>
    <x:row r="1" ht="21.600000381469727" hidden="0" customHeight="1">
      <x:c r="A1" s="3" t="str">
        <x:v>Formula Model</x:v>
      </x:c>
      <x:c r="B1" s="3" t="str">
        <x:v>Formula Model</x:v>
      </x:c>
      <x:c r="C1" s="3" t="str">
        <x:v>Formula Model</x:v>
      </x:c>
      <x:c r="D1" s="3" t="str">
        <x:v>Formula Model</x:v>
      </x:c>
    </x:row>
    <x:row r="2" ht="15" hidden="0" customHeight="1">
      <x:c r="A2" s="5" t="str">
        <x:v>Every output is formula-linked to Assumptions. Keep compute fixed when comparing MFU or price scenarios.</x:v>
      </x:c>
      <x:c r="B2" s="5" t="str">
        <x:v>Every output is formula-linked to Assumptions. Keep compute fixed when comparing MFU or price scenarios.</x:v>
      </x:c>
      <x:c r="C2" s="5" t="str">
        <x:v>Every output is formula-linked to Assumptions. Keep compute fixed when comparing MFU or price scenarios.</x:v>
      </x:c>
      <x:c r="D2" s="5" t="str">
        <x:v>Every output is formula-linked to Assumptions. Keep compute fixed when comparing MFU or price scenarios.</x:v>
      </x:c>
      <x:c r="E2" s="5" t="str">
        <x:v>Every output is formula-linked to Assumptions. Keep compute fixed when comparing MFU or price scenarios.</x:v>
      </x:c>
      <x:c r="F2" s="5" t="str">
        <x:v>Every output is formula-linked to Assumptions. Keep compute fixed when comparing MFU or price scenarios.</x:v>
      </x:c>
      <x:c r="G2" s="5" t="str">
        <x:v>Every output is formula-linked to Assumptions. Keep compute fixed when comparing MFU or price scenarios.</x:v>
      </x:c>
      <x:c r="H2" s="5" t="str">
        <x:v>Every output is formula-linked to Assumptions. Keep compute fixed when comparing MFU or price scenarios.</x:v>
      </x:c>
      <x:c r="I2" s="5" t="str">
        <x:v>Every output is formula-linked to Assumptions. Keep compute fixed when comparing MFU or price scenarios.</x:v>
      </x:c>
      <x:c r="J2" s="5" t="str">
        <x:v>Every output is formula-linked to Assumptions. Keep compute fixed when comparing MFU or price scenarios.</x:v>
      </x:c>
      <x:c r="K2" s="5" t="str">
        <x:v>Every output is formula-linked to Assumptions. Keep compute fixed when comparing MFU or price scenarios.</x:v>
      </x:c>
    </x:row>
    <x:row r="3"/>
    <x:row r="4" ht="15" hidden="0" customHeight="1">
      <x:c r="A4" s="10" t="str">
        <x:v>Output</x:v>
      </x:c>
      <x:c r="B4" s="10" t="str">
        <x:v>Formula result</x:v>
      </x:c>
      <x:c r="C4" s="10" t="str">
        <x:v>Unit</x:v>
      </x:c>
      <x:c r="D4" s="10" t="str">
        <x:v>Interpretation</x:v>
      </x:c>
    </x:row>
    <x:row r="5" ht="15" hidden="0" customHeight="1">
      <x:c r="A5" s="13" t="str">
        <x:v>Training compute</x:v>
      </x:c>
      <x:c r="B5" s="27" t="n">
        <x:f>'Assumptions'!$B$13*'Assumptions'!$B$5*'Assumptions'!$B$6</x:f>
        <x:v>1.08e+23</x:v>
      </x:c>
      <x:c r="C5" s="13" t="str">
        <x:v>FLOPs</x:v>
      </x:c>
      <x:c r="D5" s="13" t="str">
        <x:v>Dense estimate C = 6ND</x:v>
      </x:c>
    </x:row>
    <x:row r="6" ht="15" hidden="0" customHeight="1">
      <x:c r="A6" s="13" t="str">
        <x:v>Accelerator-hours</x:v>
      </x:c>
      <x:c r="B6" s="28" t="n">
        <x:f>B5/('Assumptions'!$B$8*1000000000000*'Assumptions'!$B$9)/3600</x:f>
        <x:v>75000</x:v>
      </x:c>
      <x:c r="C6" s="13" t="str">
        <x:v>device-hours</x:v>
      </x:c>
      <x:c r="D6" s="13" t="str">
        <x:v>Compute divided by useful per-device throughput</x:v>
      </x:c>
    </x:row>
    <x:row r="7" ht="15" hidden="0" customHeight="1">
      <x:c r="A7" s="13" t="str">
        <x:v>Wall time</x:v>
      </x:c>
      <x:c r="B7" s="28" t="n">
        <x:f>B6/'Assumptions'!$B$7/24</x:f>
        <x:v>0.3814697265625</x:v>
      </x:c>
      <x:c r="C7" s="13" t="str">
        <x:v>days</x:v>
      </x:c>
      <x:c r="D7" s="13" t="str">
        <x:v>Accelerator-hours divided by fleet size and 24</x:v>
      </x:c>
    </x:row>
    <x:row r="8" ht="15" hidden="0" customHeight="1">
      <x:c r="A8" s="13" t="str">
        <x:v>Training cost</x:v>
      </x:c>
      <x:c r="B8" s="29" t="n">
        <x:f>B6*'Assumptions'!$B$10</x:f>
        <x:v>300000</x:v>
      </x:c>
      <x:c r="C8" s="13" t="str">
        <x:v>USD</x:v>
      </x:c>
      <x:c r="D8" s="13" t="str">
        <x:v>Accelerator-hours multiplied by the selected rate</x:v>
      </x:c>
    </x:row>
    <x:row r="9" ht="15" hidden="0" customHeight="1">
      <x:c r="A9" s="13" t="str">
        <x:v>Average facility power</x:v>
      </x:c>
      <x:c r="B9" s="28" t="n">
        <x:f>'Assumptions'!$B$7*'Assumptions'!$B$11/1000</x:f>
        <x:v>9.8304</x:v>
      </x:c>
      <x:c r="C9" s="13" t="str">
        <x:v>MW</x:v>
      </x:c>
      <x:c r="D9" s="13" t="str">
        <x:v>Fleet size multiplied by facility kW per device</x:v>
      </x:c>
    </x:row>
    <x:row r="10" ht="15" hidden="0" customHeight="1">
      <x:c r="A10" s="13" t="str">
        <x:v>Facility energy</x:v>
      </x:c>
      <x:c r="B10" s="28" t="n">
        <x:f>B6*'Assumptions'!$B$11/1000</x:f>
        <x:v>90</x:v>
      </x:c>
      <x:c r="C10" s="13" t="str">
        <x:v>MWh</x:v>
      </x:c>
      <x:c r="D10" s="13" t="str">
        <x:v>Accelerator-hours multiplied by facility kW per device</x:v>
      </x:c>
    </x:row>
    <x:row r="11" ht="15" hidden="0" customHeight="1">
      <x:c r="A11" s="13" t="str">
        <x:v>Cost per million tokens</x:v>
      </x:c>
      <x:c r="B11" s="30" t="n">
        <x:f>B8/('Assumptions'!$B$6/1000000)</x:f>
        <x:v>0.5</x:v>
      </x:c>
      <x:c r="C11" s="13" t="str">
        <x:v>$/M tokens</x:v>
      </x:c>
      <x:c r="D11" s="13" t="str">
        <x:v>Cost divided by training-token millions</x:v>
      </x:c>
    </x:row>
    <x:row r="12" ht="15" hidden="0" customHeight="1">
      <x:c r="A12" s="13" t="str">
        <x:v>Training tokens per wall day</x:v>
      </x:c>
      <x:c r="B12" s="27" t="n">
        <x:f>'Assumptions'!$B$6/B7</x:f>
        <x:v>1572864000000</x:v>
      </x:c>
      <x:c r="C12" s="13" t="str">
        <x:v>tokens/day</x:v>
      </x:c>
      <x:c r="D12" s="13" t="str">
        <x:v>Token budget divided by wall days</x:v>
      </x:c>
    </x:row>
  </x:sheetData>
  <x:mergeCells>
    <x:mergeCell ref="A1:D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1.600000381469727" hidden="0" customHeight="1">
      <x:c r="A1" s="3" t="str">
        <x:v>MFU Sensitivity</x:v>
      </x:c>
      <x:c r="B1" s="3" t="str">
        <x:v>MFU Sensitivity</x:v>
      </x:c>
      <x:c r="C1" s="3" t="str">
        <x:v>MFU Sensitivity</x:v>
      </x:c>
      <x:c r="D1" s="3" t="str">
        <x:v>MFU Sensitivity</x:v>
      </x:c>
      <x:c r="E1" s="3" t="str">
        <x:v>MFU Sensitivity</x:v>
      </x:c>
    </x:row>
    <x:row r="2" ht="15" hidden="0" customHeight="1">
      <x:c r="A2" s="5" t="str">
        <x:v>The workload, device count, peak throughput, rate, and power stay fixed; only model FLOPs utilization changes.</x:v>
      </x:c>
      <x:c r="B2" s="5" t="str">
        <x:v>The workload, device count, peak throughput, rate, and power stay fixed; only model FLOPs utilization changes.</x:v>
      </x:c>
      <x:c r="C2" s="5" t="str">
        <x:v>The workload, device count, peak throughput, rate, and power stay fixed; only model FLOPs utilization changes.</x:v>
      </x:c>
      <x:c r="D2" s="5" t="str">
        <x:v>The workload, device count, peak throughput, rate, and power stay fixed; only model FLOPs utilization changes.</x:v>
      </x:c>
      <x:c r="E2" s="5" t="str">
        <x:v>The workload, device count, peak throughput, rate, and power stay fixed; only model FLOPs utilization changes.</x:v>
      </x:c>
      <x:c r="F2" s="5" t="str">
        <x:v>The workload, device count, peak throughput, rate, and power stay fixed; only model FLOPs utilization changes.</x:v>
      </x:c>
      <x:c r="G2" s="5" t="str">
        <x:v>The workload, device count, peak throughput, rate, and power stay fixed; only model FLOPs utilization changes.</x:v>
      </x:c>
      <x:c r="H2" s="5" t="str">
        <x:v>The workload, device count, peak throughput, rate, and power stay fixed; only model FLOPs utilization changes.</x:v>
      </x:c>
      <x:c r="I2" s="5" t="str">
        <x:v>The workload, device count, peak throughput, rate, and power stay fixed; only model FLOPs utilization changes.</x:v>
      </x:c>
      <x:c r="J2" s="5" t="str">
        <x:v>The workload, device count, peak throughput, rate, and power stay fixed; only model FLOPs utilization changes.</x:v>
      </x:c>
      <x:c r="K2" s="5" t="str">
        <x:v>The workload, device count, peak throughput, rate, and power stay fixed; only model FLOPs utilization changes.</x:v>
      </x:c>
    </x:row>
    <x:row r="3"/>
    <x:row r="4" ht="15" hidden="0" customHeight="1">
      <x:c r="A4" s="10" t="str">
        <x:v>MFU</x:v>
      </x:c>
      <x:c r="B4" s="10" t="str">
        <x:v>Accelerator-hours</x:v>
      </x:c>
      <x:c r="C4" s="10" t="str">
        <x:v>Wall days</x:v>
      </x:c>
      <x:c r="D4" s="10" t="str">
        <x:v>Training cost</x:v>
      </x:c>
      <x:c r="E4" s="10" t="str">
        <x:v>Energy (MWh)</x:v>
      </x:c>
    </x:row>
    <x:row r="5" ht="15" hidden="0" customHeight="1">
      <x:c r="A5" s="31" t="n">
        <x:v>0.25</x:v>
      </x:c>
      <x:c r="B5" s="32" t="n">
        <x:f>'Model'!$B$5/('Assumptions'!$B$8*1000000000000*A5)/3600</x:f>
        <x:v>120000.00000000001</x:v>
      </x:c>
      <x:c r="C5" s="32" t="n">
        <x:f>B5/'Assumptions'!$B$7/24</x:f>
        <x:v>0.6103515625000001</x:v>
      </x:c>
      <x:c r="D5" s="33" t="n">
        <x:f>B5*'Assumptions'!$B$10</x:f>
        <x:v>480000.00000000006</x:v>
      </x:c>
      <x:c r="E5" s="32" t="n">
        <x:f>B5*'Assumptions'!$B$11/1000</x:f>
        <x:v>144</x:v>
      </x:c>
    </x:row>
    <x:row r="6" ht="15" hidden="0" customHeight="1">
      <x:c r="A6" s="31" t="n">
        <x:v>0.3</x:v>
      </x:c>
      <x:c r="B6" s="32" t="n">
        <x:f>'Model'!$B$5/('Assumptions'!$B$8*1000000000000*A6)/3600</x:f>
        <x:v>100000</x:v>
      </x:c>
      <x:c r="C6" s="32" t="n">
        <x:f>B6/'Assumptions'!$B$7/24</x:f>
        <x:v>0.5086263020833334</x:v>
      </x:c>
      <x:c r="D6" s="33" t="n">
        <x:f>B6*'Assumptions'!$B$10</x:f>
        <x:v>400000</x:v>
      </x:c>
      <x:c r="E6" s="32" t="n">
        <x:f>B6*'Assumptions'!$B$11/1000</x:f>
        <x:v>120</x:v>
      </x:c>
    </x:row>
    <x:row r="7" ht="15" hidden="0" customHeight="1">
      <x:c r="A7" s="31" t="n">
        <x:v>0.35</x:v>
      </x:c>
      <x:c r="B7" s="32" t="n">
        <x:f>'Model'!$B$5/('Assumptions'!$B$8*1000000000000*A7)/3600</x:f>
        <x:v>85714.28571428572</x:v>
      </x:c>
      <x:c r="C7" s="32" t="n">
        <x:f>B7/'Assumptions'!$B$7/24</x:f>
        <x:v>0.43596540178571436</x:v>
      </x:c>
      <x:c r="D7" s="33" t="n">
        <x:f>B7*'Assumptions'!$B$10</x:f>
        <x:v>342857.1428571429</x:v>
      </x:c>
      <x:c r="E7" s="32" t="n">
        <x:f>B7*'Assumptions'!$B$11/1000</x:f>
        <x:v>102.85714285714288</x:v>
      </x:c>
    </x:row>
    <x:row r="8" ht="15" hidden="0" customHeight="1">
      <x:c r="A8" s="31" t="n">
        <x:v>0.4</x:v>
      </x:c>
      <x:c r="B8" s="32" t="n">
        <x:f>'Model'!$B$5/('Assumptions'!$B$8*1000000000000*A8)/3600</x:f>
        <x:v>75000</x:v>
      </x:c>
      <x:c r="C8" s="32" t="n">
        <x:f>B8/'Assumptions'!$B$7/24</x:f>
        <x:v>0.3814697265625</x:v>
      </x:c>
      <x:c r="D8" s="33" t="n">
        <x:f>B8*'Assumptions'!$B$10</x:f>
        <x:v>300000</x:v>
      </x:c>
      <x:c r="E8" s="32" t="n">
        <x:f>B8*'Assumptions'!$B$11/1000</x:f>
        <x:v>90</x:v>
      </x:c>
    </x:row>
    <x:row r="9" ht="15" hidden="0" customHeight="1">
      <x:c r="A9" s="31" t="n">
        <x:v>0.45</x:v>
      </x:c>
      <x:c r="B9" s="32" t="n">
        <x:f>'Model'!$B$5/('Assumptions'!$B$8*1000000000000*A9)/3600</x:f>
        <x:v>66666.66666666667</x:v>
      </x:c>
      <x:c r="C9" s="32" t="n">
        <x:f>B9/'Assumptions'!$B$7/24</x:f>
        <x:v>0.3390842013888889</x:v>
      </x:c>
      <x:c r="D9" s="33" t="n">
        <x:f>B9*'Assumptions'!$B$10</x:f>
        <x:v>266666.6666666667</x:v>
      </x:c>
      <x:c r="E9" s="32" t="n">
        <x:f>B9*'Assumptions'!$B$11/1000</x:f>
        <x:v>80</x:v>
      </x:c>
    </x:row>
    <x:row r="10" ht="15" hidden="0" customHeight="1">
      <x:c r="A10" s="31" t="n">
        <x:v>0.5</x:v>
      </x:c>
      <x:c r="B10" s="32" t="n">
        <x:f>'Model'!$B$5/('Assumptions'!$B$8*1000000000000*A10)/3600</x:f>
        <x:v>60000.00000000001</x:v>
      </x:c>
      <x:c r="C10" s="32" t="n">
        <x:f>B10/'Assumptions'!$B$7/24</x:f>
        <x:v>0.30517578125000006</x:v>
      </x:c>
      <x:c r="D10" s="33" t="n">
        <x:f>B10*'Assumptions'!$B$10</x:f>
        <x:v>240000.00000000003</x:v>
      </x:c>
      <x:c r="E10" s="32" t="n">
        <x:f>B10*'Assumptions'!$B$11/1000</x:f>
        <x:v>72</x:v>
      </x:c>
    </x:row>
    <x:row r="11" ht="15" hidden="0" customHeight="1">
      <x:c r="A11" s="31" t="n">
        <x:v>0.55</x:v>
      </x:c>
      <x:c r="B11" s="32" t="n">
        <x:f>'Model'!$B$5/('Assumptions'!$B$8*1000000000000*A11)/3600</x:f>
        <x:v>54545.45454545454</x:v>
      </x:c>
      <x:c r="C11" s="32" t="n">
        <x:f>B11/'Assumptions'!$B$7/24</x:f>
        <x:v>0.2774325284090909</x:v>
      </x:c>
      <x:c r="D11" s="33" t="n">
        <x:f>B11*'Assumptions'!$B$10</x:f>
        <x:v>218181.81818181815</x:v>
      </x:c>
      <x:c r="E11" s="32" t="n">
        <x:f>B11*'Assumptions'!$B$11/1000</x:f>
        <x:v>65.45454545454544</x:v>
      </x:c>
    </x:row>
    <x:row r="12" ht="15" hidden="0" customHeight="1">
      <x:c r="A12" s="31" t="n">
        <x:v>0.6</x:v>
      </x:c>
      <x:c r="B12" s="32" t="n">
        <x:f>'Model'!$B$5/('Assumptions'!$B$8*1000000000000*A12)/3600</x:f>
        <x:v>50000</x:v>
      </x:c>
      <x:c r="C12" s="32" t="n">
        <x:f>B12/'Assumptions'!$B$7/24</x:f>
        <x:v>0.2543131510416667</x:v>
      </x:c>
      <x:c r="D12" s="33" t="n">
        <x:f>B12*'Assumptions'!$B$10</x:f>
        <x:v>200000</x:v>
      </x:c>
      <x:c r="E12" s="32" t="n">
        <x:f>B12*'Assumptions'!$B$11/1000</x:f>
        <x:v>60</x:v>
      </x:c>
    </x:row>
  </x:sheetData>
  <x:mergeCells>
    <x:mergeCell ref="A1:E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52" hidden="0" customWidth="1"/>
  </x:cols>
  <x:sheetData>
    <x:row r="1" ht="21.600000381469727" hidden="0" customHeight="1">
      <x:c r="A1" s="3" t="str">
        <x:v>Model Checks</x:v>
      </x:c>
      <x:c r="B1" s="3" t="str">
        <x:v>Model Checks</x:v>
      </x:c>
      <x:c r="C1" s="3" t="str">
        <x:v>Model Checks</x:v>
      </x:c>
    </x:row>
    <x:row r="2" ht="15" hidden="0" customHeight="1">
      <x:c r="A2" s="5" t="str">
        <x:v>These formula checks catch invalid scenario inputs and non-positive outputs before a cost number is used in a decision.</x:v>
      </x:c>
      <x:c r="B2" s="5" t="str">
        <x:v>These formula checks catch invalid scenario inputs and non-positive outputs before a cost number is used in a decision.</x:v>
      </x:c>
      <x:c r="C2" s="5" t="str">
        <x:v>These formula checks catch invalid scenario inputs and non-positive outputs before a cost number is used in a decision.</x:v>
      </x:c>
      <x:c r="D2" s="5" t="str">
        <x:v>These formula checks catch invalid scenario inputs and non-positive outputs before a cost number is used in a decision.</x:v>
      </x:c>
      <x:c r="E2" s="5" t="str">
        <x:v>These formula checks catch invalid scenario inputs and non-positive outputs before a cost number is used in a decision.</x:v>
      </x:c>
      <x:c r="F2" s="5" t="str">
        <x:v>These formula checks catch invalid scenario inputs and non-positive outputs before a cost number is used in a decision.</x:v>
      </x:c>
      <x:c r="G2" s="5" t="str">
        <x:v>These formula checks catch invalid scenario inputs and non-positive outputs before a cost number is used in a decision.</x:v>
      </x:c>
      <x:c r="H2" s="5" t="str">
        <x:v>These formula checks catch invalid scenario inputs and non-positive outputs before a cost number is used in a decision.</x:v>
      </x:c>
      <x:c r="I2" s="5" t="str">
        <x:v>These formula checks catch invalid scenario inputs and non-positive outputs before a cost number is used in a decision.</x:v>
      </x:c>
      <x:c r="J2" s="5" t="str">
        <x:v>These formula checks catch invalid scenario inputs and non-positive outputs before a cost number is used in a decision.</x:v>
      </x:c>
      <x:c r="K2" s="5" t="str">
        <x:v>These formula checks catch invalid scenario inputs and non-positive outputs before a cost number is used in a decision.</x:v>
      </x:c>
    </x:row>
    <x:row r="3"/>
    <x:row r="4" ht="15" hidden="0" customHeight="1">
      <x:c r="A4" s="10" t="str">
        <x:v>Check</x:v>
      </x:c>
      <x:c r="B4" s="10" t="str">
        <x:v>Status</x:v>
      </x:c>
      <x:c r="C4" s="10" t="str">
        <x:v>Reason</x:v>
      </x:c>
    </x:row>
    <x:row r="5" ht="15" hidden="0" customHeight="1">
      <x:c r="A5" s="13" t="str">
        <x:v>Positive model size</x:v>
      </x:c>
      <x:c r="B5" s="13" t="str">
        <x:f>IF('Assumptions'!B5&gt;0,"PASS","FAIL")</x:f>
        <x:v>PASS</x:v>
      </x:c>
      <x:c r="C5" s="13" t="str">
        <x:v>N must be greater than zero</x:v>
      </x:c>
    </x:row>
    <x:row r="6" ht="15" hidden="0" customHeight="1">
      <x:c r="A6" s="13" t="str">
        <x:v>Positive token budget</x:v>
      </x:c>
      <x:c r="B6" s="13" t="str">
        <x:f>IF('Assumptions'!B6&gt;0,"PASS","FAIL")</x:f>
        <x:v>PASS</x:v>
      </x:c>
      <x:c r="C6" s="13" t="str">
        <x:v>D must be greater than zero</x:v>
      </x:c>
    </x:row>
    <x:row r="7" ht="15" hidden="0" customHeight="1">
      <x:c r="A7" s="13" t="str">
        <x:v>MFU is in (0, 1]</x:v>
      </x:c>
      <x:c r="B7" s="13" t="str">
        <x:f>IF(AND('Assumptions'!B9&gt;0,'Assumptions'!B9&lt;=1),"PASS","FAIL")</x:f>
        <x:v>PASS</x:v>
      </x:c>
      <x:c r="C7" s="13" t="str">
        <x:v>Utilization is a fraction, not a percentage point value</x:v>
      </x:c>
    </x:row>
    <x:row r="8" ht="15" hidden="0" customHeight="1">
      <x:c r="A8" s="13" t="str">
        <x:v>Positive integer fleet</x:v>
      </x:c>
      <x:c r="B8" s="13" t="str">
        <x:f>IF(AND('Assumptions'!B7&gt;0,'Assumptions'!B7=INT('Assumptions'!B7)),"PASS","FAIL")</x:f>
        <x:v>PASS</x:v>
      </x:c>
      <x:c r="C8" s="13" t="str">
        <x:v>Fleet count must be a positive whole number</x:v>
      </x:c>
    </x:row>
    <x:row r="9" ht="15" hidden="0" customHeight="1">
      <x:c r="A9" s="13" t="str">
        <x:v>Positive throughput and price</x:v>
      </x:c>
      <x:c r="B9" s="13" t="str">
        <x:f>IF(AND('Assumptions'!B8&gt;0,'Assumptions'!B10&gt;0),"PASS","FAIL")</x:f>
        <x:v>PASS</x:v>
      </x:c>
      <x:c r="C9" s="13" t="str">
        <x:v>Denominator and rate must be positive</x:v>
      </x:c>
    </x:row>
    <x:row r="10" ht="15" hidden="0" customHeight="1">
      <x:c r="A10" s="13" t="str">
        <x:v>Positive wall time and cost</x:v>
      </x:c>
      <x:c r="B10" s="13" t="str">
        <x:f>IF(AND('Model'!B7&gt;0,'Model'!B8&gt;0),"PASS","FAIL")</x:f>
        <x:v>PASS</x:v>
      </x:c>
      <x:c r="C10" s="13" t="str">
        <x:v>Final decision outputs must be positive</x:v>
      </x:c>
    </x:row>
    <x:row r="11"/>
    <x:row r="12" ht="15" hidden="0" customHeight="1">
      <x:c r="A12" s="10" t="str">
        <x:v>MODEL STATUS</x:v>
      </x:c>
      <x:c r="B12" s="37" t="str">
        <x:f>IF(COUNTIF(B5:B10,"FAIL")=0,"PASS","FAIL")</x:f>
        <x:v>PASS</x:v>
      </x:c>
    </x:row>
  </x:sheetData>
  <x:mergeCells>
    <x:mergeCell ref="A1:C1"/>
    <x:mergeCell ref="A2:K2"/>
  </x:mergeCells>
  <x:conditionalFormatting sqref="B5:B10">
    <x:cfRule type="cellIs" dxfId="0" priority="1" operator="equal">
      <x:formula>"PASS"</x:formula>
    </x:cfRule>
    <x:cfRule type="cellIs" dxfId="1" priority="2" operator="equal">
      <x:formula>"FAIL"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68" hidden="0" customWidth="1"/>
    <x:col min="5" max="5" width="14" hidden="0" customWidth="1"/>
  </x:cols>
  <x:sheetData>
    <x:row r="1" ht="21.600000381469727" hidden="0" customHeight="1">
      <x:c r="A1" s="3" t="str">
        <x:v>Sources and Scope</x:v>
      </x:c>
      <x:c r="B1" s="3" t="str">
        <x:v>Sources and Scope</x:v>
      </x:c>
      <x:c r="C1" s="3" t="str">
        <x:v>Sources and Scope</x:v>
      </x:c>
      <x:c r="D1" s="3" t="str">
        <x:v>Sources and Scope</x:v>
      </x:c>
      <x:c r="E1" s="3" t="str">
        <x:v>Sources and Scope</x:v>
      </x:c>
    </x:row>
    <x:row r="2" ht="15" hidden="0" customHeight="1">
      <x:c r="A2" s="5" t="str">
        <x:v>Sources establish a dated input or a mechanism. They do not convert illustrative assumptions into vendor quotes.</x:v>
      </x:c>
      <x:c r="B2" s="5" t="str">
        <x:v>Sources establish a dated input or a mechanism. They do not convert illustrative assumptions into vendor quotes.</x:v>
      </x:c>
      <x:c r="C2" s="5" t="str">
        <x:v>Sources establish a dated input or a mechanism. They do not convert illustrative assumptions into vendor quotes.</x:v>
      </x:c>
      <x:c r="D2" s="5" t="str">
        <x:v>Sources establish a dated input or a mechanism. They do not convert illustrative assumptions into vendor quotes.</x:v>
      </x:c>
      <x:c r="E2" s="5" t="str">
        <x:v>Sources establish a dated input or a mechanism. They do not convert illustrative assumptions into vendor quotes.</x:v>
      </x:c>
      <x:c r="F2" s="5" t="str">
        <x:v>Sources establish a dated input or a mechanism. They do not convert illustrative assumptions into vendor quotes.</x:v>
      </x:c>
      <x:c r="G2" s="5" t="str">
        <x:v>Sources establish a dated input or a mechanism. They do not convert illustrative assumptions into vendor quotes.</x:v>
      </x:c>
      <x:c r="H2" s="5" t="str">
        <x:v>Sources establish a dated input or a mechanism. They do not convert illustrative assumptions into vendor quotes.</x:v>
      </x:c>
      <x:c r="I2" s="5" t="str">
        <x:v>Sources establish a dated input or a mechanism. They do not convert illustrative assumptions into vendor quotes.</x:v>
      </x:c>
      <x:c r="J2" s="5" t="str">
        <x:v>Sources establish a dated input or a mechanism. They do not convert illustrative assumptions into vendor quotes.</x:v>
      </x:c>
      <x:c r="K2" s="5" t="str">
        <x:v>Sources establish a dated input or a mechanism. They do not convert illustrative assumptions into vendor quotes.</x:v>
      </x:c>
    </x:row>
    <x:row r="3"/>
    <x:row r="4" ht="15" hidden="0" customHeight="1">
      <x:c r="A4" s="10" t="str">
        <x:v>Item</x:v>
      </x:c>
      <x:c r="B4" s="10" t="str">
        <x:v>Classification</x:v>
      </x:c>
      <x:c r="C4" s="10" t="str">
        <x:v>Claim used</x:v>
      </x:c>
      <x:c r="D4" s="10" t="str">
        <x:v>URL / provenance</x:v>
      </x:c>
      <x:c r="E4" s="10" t="str">
        <x:v>Checked</x:v>
      </x:c>
    </x:row>
    <x:row r="5" ht="15" hidden="0" customHeight="1">
      <x:c r="A5" s="20" t="str">
        <x:v>Dense training compute</x:v>
      </x:c>
      <x:c r="B5" s="20" t="str">
        <x:v>Mechanism</x:v>
      </x:c>
      <x:c r="C5" s="20" t="str">
        <x:v>C ≈ 6ND planning approximation</x:v>
      </x:c>
      <x:c r="D5" s="20" t="str">
        <x:v>Chapter 6 derivation and cited scaling-law literature</x:v>
      </x:c>
      <x:c r="E5" s="20" t="str">
        <x:v>2026-07-19</x:v>
      </x:c>
    </x:row>
    <x:row r="6" ht="15" hidden="0" customHeight="1">
      <x:c r="A6" s="20" t="str">
        <x:v>Base price</x:v>
      </x:c>
      <x:c r="B6" s="20" t="str">
        <x:v>Illustrative assumption</x:v>
      </x:c>
      <x:c r="C6" s="20" t="str">
        <x:v>$4/device-hour</x:v>
      </x:c>
      <x:c r="D6" s="20" t="str">
        <x:v>Replace with approved quote or internal transfer price</x:v>
      </x:c>
      <x:c r="E6" s="20" t="str"/>
    </x:row>
    <x:row r="7" ht="15" hidden="0" customHeight="1">
      <x:c r="A7" s="20" t="str">
        <x:v>Google Cloud a3-highgpu-8g</x:v>
      </x:c>
      <x:c r="B7" s="20" t="str">
        <x:v>Dated vendor price</x:v>
      </x:c>
      <x:c r="C7" s="20" t="str">
        <x:v>$88.490000119/VM-hour for 8 H100 GPUs</x:v>
      </x:c>
      <x:c r="D7" s="20" t="str">
        <x:v>https://cloud.google.com/products/compute/pricing/accelerator-optimized</x:v>
      </x:c>
      <x:c r="E7" s="20" t="str">
        <x:v>2026-07-19</x:v>
      </x:c>
    </x:row>
  </x:sheetData>
  <x:mergeCells>
    <x:mergeCell ref="A1:E1"/>
    <x:mergeCell ref="A2:K2"/>
  </x:mergeCells>
  <x:pageMargins left="0.7" right="0.7" top="0.75" bottom="0.75" header="0.3" footer="0.3"/>
</x:worksheet>
</file>